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M:\MH\KP8105\2021\Project2-FT\"/>
    </mc:Choice>
  </mc:AlternateContent>
  <xr:revisionPtr revIDLastSave="0" documentId="13_ncr:1_{D8BAD550-A6BB-4597-A9C0-EF5FE8F53C12}" xr6:coauthVersionLast="47" xr6:coauthVersionMax="47" xr10:uidLastSave="{00000000-0000-0000-0000-000000000000}"/>
  <bookViews>
    <workbookView xWindow="8715" yWindow="1830" windowWidth="22785" windowHeight="16365" xr2:uid="{00000000-000D-0000-FFFF-FFFF00000000}"/>
  </bookViews>
  <sheets>
    <sheet name="Todi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7" i="1" l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sharedStrings.xml><?xml version="1.0" encoding="utf-8"?>
<sst xmlns="http://schemas.openxmlformats.org/spreadsheetml/2006/main" count="18" uniqueCount="18">
  <si>
    <t>TOS (h)</t>
  </si>
  <si>
    <t>T (K)</t>
  </si>
  <si>
    <t>P (MPa)</t>
  </si>
  <si>
    <t>Inlet H2/CO (mol/mol)</t>
  </si>
  <si>
    <t>WHSV (NL/(gcat h))</t>
  </si>
  <si>
    <t>F(kmol/hr)</t>
  </si>
  <si>
    <t>XCO (%)</t>
  </si>
  <si>
    <t>(–RCO) (mol CO/(gcat s))</t>
  </si>
  <si>
    <t>Outlet H2/CO (mol/mol)</t>
  </si>
  <si>
    <t>PCO (MPa)</t>
  </si>
  <si>
    <t>PH2 (MPa)</t>
  </si>
  <si>
    <t>PH2O (MPa)</t>
  </si>
  <si>
    <t>SC1 (%)</t>
  </si>
  <si>
    <t>SC2 (%)</t>
  </si>
  <si>
    <t>SC3 (%)</t>
  </si>
  <si>
    <t>SC4 (%)</t>
  </si>
  <si>
    <t>SC5+ (%)</t>
  </si>
  <si>
    <t>S_CO2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</si>
</sst>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kr&quot;\ * #,##0.00_ ;_ &quot;kr&quot;\ * \-#,##0.00_ ;_ &quot;kr&quot;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16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2" fontId="0" fillId="0" borderId="0" xfId="42" applyNumberFormat="1" applyFont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R8" sqref="R8"/>
    </sheetView>
  </sheetViews>
  <sheetFormatPr defaultRowHeight="15" x14ac:dyDescent="0.25"/>
  <cols>
    <col min="1" max="18" width="10.7109375" style="1" customWidth="1"/>
  </cols>
  <sheetData>
    <row r="1" spans="1:18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6</v>
      </c>
      <c r="Q1" s="2" t="s">
        <v>7</v>
      </c>
      <c r="R1" s="1" t="s">
        <v>0</v>
      </c>
    </row>
    <row r="2" spans="1:18" x14ac:dyDescent="0.25">
      <c r="A2" s="1">
        <v>493</v>
      </c>
      <c r="B2" s="1">
        <v>1.5</v>
      </c>
      <c r="C2" s="1">
        <v>8</v>
      </c>
      <c r="D2" s="1">
        <v>2.1</v>
      </c>
      <c r="E2" s="1">
        <v>5.0000000000000001E-3</v>
      </c>
      <c r="F2" s="1">
        <v>2.1</v>
      </c>
      <c r="G2" s="1">
        <v>0.37</v>
      </c>
      <c r="H2" s="1">
        <v>0.77</v>
      </c>
      <c r="I2" s="1">
        <v>0.3</v>
      </c>
      <c r="J2" s="1">
        <v>7.09</v>
      </c>
      <c r="K2" s="1">
        <v>0.88</v>
      </c>
      <c r="L2" s="1">
        <v>2.61</v>
      </c>
      <c r="M2" s="1">
        <v>2.79</v>
      </c>
      <c r="N2" s="1">
        <v>86.63</v>
      </c>
      <c r="O2" s="1">
        <v>0.38</v>
      </c>
      <c r="P2" s="1">
        <v>45.5</v>
      </c>
      <c r="Q2" s="2">
        <f>5.25/100</f>
        <v>5.2499999999999998E-2</v>
      </c>
      <c r="R2" s="1">
        <v>173</v>
      </c>
    </row>
    <row r="3" spans="1:18" x14ac:dyDescent="0.25">
      <c r="A3" s="1">
        <v>493</v>
      </c>
      <c r="B3" s="1">
        <v>1.5</v>
      </c>
      <c r="C3" s="1">
        <v>6.3</v>
      </c>
      <c r="D3" s="1">
        <v>2.1</v>
      </c>
      <c r="E3" s="1">
        <v>3.9375E-3</v>
      </c>
      <c r="F3" s="1">
        <v>2.1</v>
      </c>
      <c r="G3" s="1">
        <v>0.34</v>
      </c>
      <c r="H3" s="1">
        <v>0.7</v>
      </c>
      <c r="I3" s="1">
        <v>0.39</v>
      </c>
      <c r="J3" s="1">
        <v>7.11</v>
      </c>
      <c r="K3" s="1">
        <v>0.96</v>
      </c>
      <c r="L3" s="1">
        <v>2.67</v>
      </c>
      <c r="M3" s="1">
        <v>2.8</v>
      </c>
      <c r="N3" s="1">
        <v>86.46</v>
      </c>
      <c r="O3" s="1">
        <v>0.54</v>
      </c>
      <c r="P3" s="1">
        <v>54.6</v>
      </c>
      <c r="Q3" s="2">
        <f>4.96/100</f>
        <v>4.9599999999999998E-2</v>
      </c>
      <c r="R3" s="1">
        <v>197</v>
      </c>
    </row>
    <row r="4" spans="1:18" x14ac:dyDescent="0.25">
      <c r="A4" s="1">
        <v>493</v>
      </c>
      <c r="B4" s="1">
        <v>1.5</v>
      </c>
      <c r="C4" s="1">
        <v>14</v>
      </c>
      <c r="D4" s="1">
        <v>2.1</v>
      </c>
      <c r="E4" s="1">
        <v>8.7500000000000008E-3</v>
      </c>
      <c r="F4" s="1">
        <v>2.1</v>
      </c>
      <c r="G4" s="1">
        <v>0.43</v>
      </c>
      <c r="H4" s="1">
        <v>0.91</v>
      </c>
      <c r="I4" s="1">
        <v>0.14000000000000001</v>
      </c>
      <c r="J4" s="1">
        <v>8.35</v>
      </c>
      <c r="K4" s="1">
        <v>0.99</v>
      </c>
      <c r="L4" s="1">
        <v>2.9</v>
      </c>
      <c r="M4" s="1">
        <v>2.98</v>
      </c>
      <c r="N4" s="1">
        <v>84.78</v>
      </c>
      <c r="O4" s="1">
        <v>0.34</v>
      </c>
      <c r="P4" s="1">
        <v>24.3</v>
      </c>
      <c r="Q4" s="2">
        <f>4.92/100</f>
        <v>4.9200000000000001E-2</v>
      </c>
      <c r="R4" s="1">
        <v>221</v>
      </c>
    </row>
    <row r="5" spans="1:18" x14ac:dyDescent="0.25">
      <c r="A5" s="1">
        <v>493</v>
      </c>
      <c r="B5" s="1">
        <v>1.5</v>
      </c>
      <c r="C5" s="1">
        <v>5.6</v>
      </c>
      <c r="D5" s="1">
        <v>1.4</v>
      </c>
      <c r="E5" s="1">
        <v>3.4999999999999996E-3</v>
      </c>
      <c r="F5" s="1">
        <v>1</v>
      </c>
      <c r="G5" s="1">
        <v>0.56999999999999995</v>
      </c>
      <c r="H5" s="1">
        <v>0.59</v>
      </c>
      <c r="I5" s="1">
        <v>0.3</v>
      </c>
      <c r="J5" s="1">
        <v>4.8</v>
      </c>
      <c r="K5" s="1">
        <v>0.69</v>
      </c>
      <c r="L5" s="1">
        <v>2.34</v>
      </c>
      <c r="M5" s="1">
        <v>2.46</v>
      </c>
      <c r="N5" s="1">
        <v>89.71</v>
      </c>
      <c r="O5" s="1">
        <v>0.55000000000000004</v>
      </c>
      <c r="P5" s="1">
        <v>34.1</v>
      </c>
      <c r="Q5" s="2">
        <f>3.56/100</f>
        <v>3.56E-2</v>
      </c>
      <c r="R5" s="1">
        <v>246</v>
      </c>
    </row>
    <row r="6" spans="1:18" x14ac:dyDescent="0.25">
      <c r="A6" s="1">
        <v>493</v>
      </c>
      <c r="B6" s="1">
        <v>1.5</v>
      </c>
      <c r="C6" s="1">
        <v>8</v>
      </c>
      <c r="D6" s="1">
        <v>2.1</v>
      </c>
      <c r="E6" s="1">
        <v>5.0000000000000001E-3</v>
      </c>
      <c r="F6" s="1">
        <v>2.1</v>
      </c>
      <c r="G6" s="1">
        <v>0.38</v>
      </c>
      <c r="H6" s="1">
        <v>0.79</v>
      </c>
      <c r="I6" s="1">
        <v>0.27</v>
      </c>
      <c r="J6" s="1">
        <v>7.54</v>
      </c>
      <c r="K6" s="1">
        <v>0.95</v>
      </c>
      <c r="L6" s="1">
        <v>2.72</v>
      </c>
      <c r="M6" s="1">
        <v>2.85</v>
      </c>
      <c r="N6" s="1">
        <v>85.93</v>
      </c>
      <c r="O6" s="1">
        <v>0.41</v>
      </c>
      <c r="P6" s="1">
        <v>41.3</v>
      </c>
      <c r="Q6" s="2">
        <f>4.76 /100</f>
        <v>4.7599999999999996E-2</v>
      </c>
      <c r="R6" s="1">
        <v>293</v>
      </c>
    </row>
    <row r="7" spans="1:18" x14ac:dyDescent="0.25">
      <c r="A7" s="1">
        <v>493</v>
      </c>
      <c r="B7" s="1">
        <v>1.5</v>
      </c>
      <c r="C7" s="1">
        <v>3.6</v>
      </c>
      <c r="D7" s="1">
        <v>1.4</v>
      </c>
      <c r="E7" s="1">
        <v>2.2499999999999998E-3</v>
      </c>
      <c r="F7" s="1">
        <v>0.9</v>
      </c>
      <c r="G7" s="1">
        <v>0.56000000000000005</v>
      </c>
      <c r="H7" s="1">
        <v>0.48</v>
      </c>
      <c r="I7" s="1">
        <v>0.42</v>
      </c>
      <c r="J7" s="1">
        <v>4.3600000000000003</v>
      </c>
      <c r="K7" s="1">
        <v>0.7</v>
      </c>
      <c r="L7" s="1">
        <v>2.37</v>
      </c>
      <c r="M7" s="1">
        <v>2.57</v>
      </c>
      <c r="N7" s="1">
        <v>90.01</v>
      </c>
      <c r="O7" s="1">
        <v>0.94</v>
      </c>
      <c r="P7" s="1">
        <v>42.3</v>
      </c>
      <c r="Q7" s="2">
        <f>2.83 /100</f>
        <v>2.8300000000000002E-2</v>
      </c>
      <c r="R7" s="1">
        <v>318</v>
      </c>
    </row>
    <row r="8" spans="1:18" x14ac:dyDescent="0.25">
      <c r="A8" s="1">
        <v>493</v>
      </c>
      <c r="B8" s="1">
        <v>2.5</v>
      </c>
      <c r="C8" s="1">
        <v>15</v>
      </c>
      <c r="D8" s="1">
        <v>2.1</v>
      </c>
      <c r="E8" s="1">
        <v>9.3749999999999997E-3</v>
      </c>
      <c r="F8" s="1">
        <v>2.1</v>
      </c>
      <c r="G8" s="1">
        <v>0.7</v>
      </c>
      <c r="H8" s="1">
        <v>1.47</v>
      </c>
      <c r="I8" s="1">
        <v>0.26</v>
      </c>
      <c r="J8" s="1">
        <v>8.24</v>
      </c>
      <c r="K8" s="1">
        <v>1.07</v>
      </c>
      <c r="L8" s="1">
        <v>3.46</v>
      </c>
      <c r="M8" s="1">
        <v>3.33</v>
      </c>
      <c r="N8" s="1">
        <v>83.9</v>
      </c>
      <c r="O8" s="1">
        <v>0.37</v>
      </c>
      <c r="P8" s="1">
        <v>26</v>
      </c>
      <c r="Q8" s="2">
        <f>5.63 /100</f>
        <v>5.6299999999999996E-2</v>
      </c>
      <c r="R8" s="1">
        <v>342</v>
      </c>
    </row>
    <row r="9" spans="1:18" x14ac:dyDescent="0.25">
      <c r="A9" s="1">
        <v>493</v>
      </c>
      <c r="B9" s="1">
        <v>2.5</v>
      </c>
      <c r="C9" s="1">
        <v>6.1</v>
      </c>
      <c r="D9" s="1">
        <v>2.1</v>
      </c>
      <c r="E9" s="1">
        <v>3.8124999999999995E-3</v>
      </c>
      <c r="F9" s="1">
        <v>2.1</v>
      </c>
      <c r="G9" s="1">
        <v>0.55000000000000004</v>
      </c>
      <c r="H9" s="1">
        <v>1.1399999999999999</v>
      </c>
      <c r="I9" s="1">
        <v>0.69</v>
      </c>
      <c r="J9" s="1">
        <v>6.32</v>
      </c>
      <c r="K9" s="1">
        <v>1.07</v>
      </c>
      <c r="L9" s="1">
        <v>3.14</v>
      </c>
      <c r="M9" s="1">
        <v>3.19</v>
      </c>
      <c r="N9" s="1">
        <v>86.27</v>
      </c>
      <c r="O9" s="1">
        <v>0.48</v>
      </c>
      <c r="P9" s="1">
        <v>56.7</v>
      </c>
      <c r="Q9" s="2">
        <f>4.98 /100</f>
        <v>4.9800000000000004E-2</v>
      </c>
      <c r="R9" s="1">
        <v>367</v>
      </c>
    </row>
    <row r="10" spans="1:18" x14ac:dyDescent="0.25">
      <c r="A10" s="1">
        <v>493</v>
      </c>
      <c r="B10" s="1">
        <v>1.5</v>
      </c>
      <c r="C10" s="1">
        <v>8</v>
      </c>
      <c r="D10" s="1">
        <v>2.1</v>
      </c>
      <c r="E10" s="1">
        <v>5.0000000000000001E-3</v>
      </c>
      <c r="F10" s="1">
        <v>2.1</v>
      </c>
      <c r="G10" s="1">
        <v>0.38</v>
      </c>
      <c r="H10" s="1">
        <v>0.79</v>
      </c>
      <c r="I10" s="1">
        <v>0.28000000000000003</v>
      </c>
      <c r="J10" s="1">
        <v>7.9</v>
      </c>
      <c r="K10" s="1">
        <v>0.99</v>
      </c>
      <c r="L10" s="1">
        <v>2.92</v>
      </c>
      <c r="M10" s="1">
        <v>3.02</v>
      </c>
      <c r="N10" s="1">
        <v>85.17</v>
      </c>
      <c r="O10" s="1">
        <v>0.37</v>
      </c>
      <c r="P10" s="1">
        <v>43.2</v>
      </c>
      <c r="Q10" s="2">
        <f>4.99 /100</f>
        <v>4.99E-2</v>
      </c>
      <c r="R10" s="1">
        <v>117</v>
      </c>
    </row>
    <row r="11" spans="1:18" x14ac:dyDescent="0.25">
      <c r="A11" s="1">
        <v>478</v>
      </c>
      <c r="B11" s="1">
        <v>1.5</v>
      </c>
      <c r="C11" s="1">
        <v>3.7</v>
      </c>
      <c r="D11" s="1">
        <v>2.1</v>
      </c>
      <c r="E11" s="1">
        <v>2.3125000000000003E-3</v>
      </c>
      <c r="F11" s="1">
        <v>2.1</v>
      </c>
      <c r="G11" s="1">
        <v>0.38</v>
      </c>
      <c r="H11" s="1">
        <v>0.78</v>
      </c>
      <c r="I11" s="1">
        <v>0.28999999999999998</v>
      </c>
      <c r="J11" s="1">
        <v>6.4</v>
      </c>
      <c r="K11" s="1">
        <v>0.91</v>
      </c>
      <c r="L11" s="1">
        <v>3.04</v>
      </c>
      <c r="M11" s="1">
        <v>3.08</v>
      </c>
      <c r="N11" s="1">
        <v>86.57</v>
      </c>
      <c r="O11" s="1">
        <v>0.31</v>
      </c>
      <c r="P11" s="1">
        <v>43.1</v>
      </c>
      <c r="Q11" s="2">
        <f>2.33 /100</f>
        <v>2.3300000000000001E-2</v>
      </c>
      <c r="R11" s="1">
        <v>158</v>
      </c>
    </row>
    <row r="12" spans="1:18" x14ac:dyDescent="0.25">
      <c r="A12" s="1">
        <v>478</v>
      </c>
      <c r="B12" s="1">
        <v>1.5</v>
      </c>
      <c r="C12" s="1">
        <v>7.4</v>
      </c>
      <c r="D12" s="1">
        <v>2.1</v>
      </c>
      <c r="E12" s="1">
        <v>4.6250000000000006E-3</v>
      </c>
      <c r="F12" s="1">
        <v>2.1</v>
      </c>
      <c r="G12" s="1">
        <v>0.44</v>
      </c>
      <c r="H12" s="1">
        <v>0.92</v>
      </c>
      <c r="I12" s="1">
        <v>0.12</v>
      </c>
      <c r="J12" s="1">
        <v>7.02</v>
      </c>
      <c r="K12" s="1">
        <v>0.85</v>
      </c>
      <c r="L12" s="1">
        <v>2.97</v>
      </c>
      <c r="M12" s="1">
        <v>3.02</v>
      </c>
      <c r="N12" s="1">
        <v>86.14</v>
      </c>
      <c r="O12" s="1">
        <v>0.24</v>
      </c>
      <c r="P12" s="1">
        <v>23.1</v>
      </c>
      <c r="Q12" s="2">
        <f>2.51 /100</f>
        <v>2.5099999999999997E-2</v>
      </c>
      <c r="R12" s="1">
        <v>181</v>
      </c>
    </row>
    <row r="13" spans="1:18" x14ac:dyDescent="0.25">
      <c r="A13" s="1">
        <v>478</v>
      </c>
      <c r="B13" s="1">
        <v>1.5</v>
      </c>
      <c r="C13" s="1">
        <v>1.9</v>
      </c>
      <c r="D13" s="1">
        <v>2.1</v>
      </c>
      <c r="E13" s="1">
        <v>1.1875E-3</v>
      </c>
      <c r="F13" s="1">
        <v>2.1</v>
      </c>
      <c r="G13" s="1">
        <v>0.3</v>
      </c>
      <c r="H13" s="1">
        <v>0.62</v>
      </c>
      <c r="I13" s="1">
        <v>0.5</v>
      </c>
      <c r="J13" s="1">
        <v>5.56</v>
      </c>
      <c r="K13" s="1">
        <v>0.95</v>
      </c>
      <c r="L13" s="1">
        <v>2.98</v>
      </c>
      <c r="M13" s="1">
        <v>3.1</v>
      </c>
      <c r="N13" s="1">
        <v>87.42</v>
      </c>
      <c r="O13" s="1">
        <v>0.59</v>
      </c>
      <c r="P13" s="1">
        <v>62.3</v>
      </c>
      <c r="Q13" s="2">
        <f>1.76 /100</f>
        <v>1.7600000000000001E-2</v>
      </c>
      <c r="R13" s="1">
        <v>209</v>
      </c>
    </row>
    <row r="14" spans="1:18" x14ac:dyDescent="0.25">
      <c r="A14" s="1">
        <v>478</v>
      </c>
      <c r="B14" s="1">
        <v>1.5</v>
      </c>
      <c r="C14" s="1">
        <v>4.9000000000000004</v>
      </c>
      <c r="D14" s="1">
        <v>1.4</v>
      </c>
      <c r="E14" s="1">
        <v>3.0625000000000006E-3</v>
      </c>
      <c r="F14" s="1">
        <v>1.3</v>
      </c>
      <c r="G14" s="1">
        <v>0.6</v>
      </c>
      <c r="H14" s="1">
        <v>0.75</v>
      </c>
      <c r="I14" s="1">
        <v>0.13</v>
      </c>
      <c r="J14" s="1">
        <v>5.52</v>
      </c>
      <c r="K14" s="1">
        <v>0.71</v>
      </c>
      <c r="L14" s="1">
        <v>2.79</v>
      </c>
      <c r="M14" s="1">
        <v>2.85</v>
      </c>
      <c r="N14" s="1">
        <v>88.13</v>
      </c>
      <c r="O14" s="1">
        <v>0.42</v>
      </c>
      <c r="P14" s="1">
        <v>18</v>
      </c>
      <c r="Q14" s="2">
        <f>1.67 /100</f>
        <v>1.67E-2</v>
      </c>
      <c r="R14" s="1">
        <v>231</v>
      </c>
    </row>
    <row r="15" spans="1:18" x14ac:dyDescent="0.25">
      <c r="A15" s="1">
        <v>478</v>
      </c>
      <c r="B15" s="1">
        <v>1.5</v>
      </c>
      <c r="C15" s="1">
        <v>3.7</v>
      </c>
      <c r="D15" s="1">
        <v>2.1</v>
      </c>
      <c r="E15" s="1">
        <v>2.3125000000000003E-3</v>
      </c>
      <c r="F15" s="1">
        <v>2.1</v>
      </c>
      <c r="G15" s="1">
        <v>0.4</v>
      </c>
      <c r="H15" s="1">
        <v>0.82</v>
      </c>
      <c r="I15" s="1">
        <v>0.24</v>
      </c>
      <c r="J15" s="1">
        <v>6.73</v>
      </c>
      <c r="K15" s="1">
        <v>0.89</v>
      </c>
      <c r="L15" s="1">
        <v>2.98</v>
      </c>
      <c r="M15" s="1">
        <v>2.99</v>
      </c>
      <c r="N15" s="1">
        <v>86.41</v>
      </c>
      <c r="O15" s="1">
        <v>0.3</v>
      </c>
      <c r="P15" s="1">
        <v>37.4</v>
      </c>
      <c r="Q15" s="2">
        <f>2.03 /100</f>
        <v>2.0299999999999999E-2</v>
      </c>
      <c r="R15" s="1">
        <v>253</v>
      </c>
    </row>
    <row r="16" spans="1:18" x14ac:dyDescent="0.25">
      <c r="A16" s="1">
        <v>478</v>
      </c>
      <c r="B16" s="1">
        <v>1.5</v>
      </c>
      <c r="C16" s="1">
        <v>1.7</v>
      </c>
      <c r="D16" s="1">
        <v>1.4</v>
      </c>
      <c r="E16" s="1">
        <v>1.0625000000000001E-3</v>
      </c>
      <c r="F16" s="1">
        <v>0.9</v>
      </c>
      <c r="G16" s="1">
        <v>0.56000000000000005</v>
      </c>
      <c r="H16" s="1">
        <v>0.53</v>
      </c>
      <c r="I16" s="1">
        <v>0.37</v>
      </c>
      <c r="J16" s="1">
        <v>3.82</v>
      </c>
      <c r="K16" s="1">
        <v>0.68</v>
      </c>
      <c r="L16" s="1">
        <v>2.58</v>
      </c>
      <c r="M16" s="1">
        <v>2.72</v>
      </c>
      <c r="N16" s="1">
        <v>90.21</v>
      </c>
      <c r="O16" s="1">
        <v>0.59</v>
      </c>
      <c r="P16" s="1">
        <v>39.6</v>
      </c>
      <c r="Q16" s="2">
        <f>1.29 /100</f>
        <v>1.29E-2</v>
      </c>
      <c r="R16" s="1">
        <v>278</v>
      </c>
    </row>
    <row r="17" spans="1:18" x14ac:dyDescent="0.25">
      <c r="A17" s="1">
        <v>478</v>
      </c>
      <c r="B17" s="1">
        <v>1.5</v>
      </c>
      <c r="C17" s="1">
        <v>1</v>
      </c>
      <c r="D17" s="1">
        <v>1.4</v>
      </c>
      <c r="E17" s="1">
        <v>6.2500000000000001E-4</v>
      </c>
      <c r="F17" s="1">
        <v>0.8</v>
      </c>
      <c r="G17" s="1">
        <v>0.53</v>
      </c>
      <c r="H17" s="1">
        <v>0.42</v>
      </c>
      <c r="I17" s="1">
        <v>0.49</v>
      </c>
      <c r="J17" s="1">
        <v>3.43</v>
      </c>
      <c r="K17" s="1">
        <v>0.74</v>
      </c>
      <c r="L17" s="1">
        <v>2.73</v>
      </c>
      <c r="M17" s="1">
        <v>2.79</v>
      </c>
      <c r="N17" s="1">
        <v>90.31</v>
      </c>
      <c r="O17" s="1">
        <v>1.1399999999999999</v>
      </c>
      <c r="P17" s="1">
        <v>48.1</v>
      </c>
      <c r="Q17" s="2">
        <f>9.08/1000</f>
        <v>9.0799999999999995E-3</v>
      </c>
      <c r="R17" s="1">
        <v>303</v>
      </c>
    </row>
    <row r="18" spans="1:18" x14ac:dyDescent="0.25">
      <c r="A18" s="1">
        <v>493</v>
      </c>
      <c r="B18" s="1">
        <v>1.5</v>
      </c>
      <c r="C18" s="1">
        <v>8</v>
      </c>
      <c r="D18" s="1">
        <v>2.1</v>
      </c>
      <c r="E18" s="1">
        <v>5.0000000000000001E-3</v>
      </c>
      <c r="F18" s="1">
        <v>2.1</v>
      </c>
      <c r="G18" s="1">
        <v>0.39</v>
      </c>
      <c r="H18" s="1">
        <v>0.8</v>
      </c>
      <c r="I18" s="1">
        <v>0.28999999999999998</v>
      </c>
      <c r="J18" s="1">
        <v>7.95</v>
      </c>
      <c r="K18" s="1">
        <v>1.06</v>
      </c>
      <c r="L18" s="1">
        <v>1.98</v>
      </c>
      <c r="M18" s="1">
        <v>3.14</v>
      </c>
      <c r="N18" s="1">
        <v>85.87</v>
      </c>
      <c r="O18" s="1">
        <v>0.4</v>
      </c>
      <c r="P18" s="1">
        <v>43.4</v>
      </c>
      <c r="Q18" s="2">
        <f>4.98 /100</f>
        <v>4.9800000000000004E-2</v>
      </c>
      <c r="R18" s="1">
        <v>125</v>
      </c>
    </row>
    <row r="19" spans="1:18" x14ac:dyDescent="0.25">
      <c r="A19" s="1">
        <v>503</v>
      </c>
      <c r="B19" s="1">
        <v>1.5</v>
      </c>
      <c r="C19" s="1">
        <v>11.3</v>
      </c>
      <c r="D19" s="1">
        <v>2.1</v>
      </c>
      <c r="E19" s="1">
        <v>7.0625000000000011E-3</v>
      </c>
      <c r="F19" s="1">
        <v>2</v>
      </c>
      <c r="G19" s="1">
        <v>0.38</v>
      </c>
      <c r="H19" s="1">
        <v>0.77</v>
      </c>
      <c r="I19" s="1">
        <v>0.28999999999999998</v>
      </c>
      <c r="J19" s="1">
        <v>10.3</v>
      </c>
      <c r="K19" s="1">
        <v>1.36</v>
      </c>
      <c r="L19" s="1">
        <v>3.6</v>
      </c>
      <c r="M19" s="1">
        <v>3.85</v>
      </c>
      <c r="N19" s="1">
        <v>80.94</v>
      </c>
      <c r="O19" s="1">
        <v>0.6</v>
      </c>
      <c r="P19" s="1">
        <v>43.3</v>
      </c>
      <c r="Q19" s="2">
        <f>7.11 /100</f>
        <v>7.1099999999999997E-2</v>
      </c>
      <c r="R19" s="1">
        <v>148</v>
      </c>
    </row>
    <row r="20" spans="1:18" x14ac:dyDescent="0.25">
      <c r="A20" s="1">
        <v>503</v>
      </c>
      <c r="B20" s="1">
        <v>1.5</v>
      </c>
      <c r="C20" s="1">
        <v>20</v>
      </c>
      <c r="D20" s="1">
        <v>2.1</v>
      </c>
      <c r="E20" s="1">
        <v>1.2500000000000001E-2</v>
      </c>
      <c r="F20" s="1">
        <v>2</v>
      </c>
      <c r="G20" s="1">
        <v>0.44</v>
      </c>
      <c r="H20" s="1">
        <v>0.9</v>
      </c>
      <c r="I20" s="1">
        <v>0.13</v>
      </c>
      <c r="J20" s="1">
        <v>12.1</v>
      </c>
      <c r="K20" s="1">
        <v>1.48</v>
      </c>
      <c r="L20" s="1">
        <v>4.13</v>
      </c>
      <c r="M20" s="1">
        <v>4.17</v>
      </c>
      <c r="N20" s="1">
        <v>78.16</v>
      </c>
      <c r="O20" s="1">
        <v>0.49</v>
      </c>
      <c r="P20" s="1">
        <v>23.5</v>
      </c>
      <c r="Q20" s="2">
        <f>6.83 /100</f>
        <v>6.83E-2</v>
      </c>
      <c r="R20" s="1">
        <v>171</v>
      </c>
    </row>
    <row r="21" spans="1:18" x14ac:dyDescent="0.25">
      <c r="A21" s="1">
        <v>503</v>
      </c>
      <c r="B21" s="1">
        <v>2.5</v>
      </c>
      <c r="C21" s="1">
        <v>22.5</v>
      </c>
      <c r="D21" s="1">
        <v>2.1</v>
      </c>
      <c r="E21" s="1">
        <v>1.40625E-2</v>
      </c>
      <c r="F21" s="1">
        <v>2</v>
      </c>
      <c r="G21" s="1">
        <v>0.71</v>
      </c>
      <c r="H21" s="1">
        <v>1.45</v>
      </c>
      <c r="I21" s="1">
        <v>0.27</v>
      </c>
      <c r="J21" s="1">
        <v>11</v>
      </c>
      <c r="K21" s="1">
        <v>1.39</v>
      </c>
      <c r="L21" s="1">
        <v>4.18</v>
      </c>
      <c r="M21" s="1">
        <v>4.05</v>
      </c>
      <c r="N21" s="1">
        <v>79.42</v>
      </c>
      <c r="O21" s="1">
        <v>0.43</v>
      </c>
      <c r="P21" s="1">
        <v>27.6</v>
      </c>
      <c r="Q21" s="2">
        <f>9.03 /100</f>
        <v>9.0299999999999991E-2</v>
      </c>
      <c r="R21" s="1">
        <v>198</v>
      </c>
    </row>
    <row r="22" spans="1:18" x14ac:dyDescent="0.25">
      <c r="A22" s="1">
        <v>503</v>
      </c>
      <c r="B22" s="1">
        <v>2.5</v>
      </c>
      <c r="C22" s="1">
        <v>11.5</v>
      </c>
      <c r="D22" s="1">
        <v>2.1</v>
      </c>
      <c r="E22" s="1">
        <v>7.1875000000000003E-3</v>
      </c>
      <c r="F22" s="1">
        <v>2.1</v>
      </c>
      <c r="G22" s="1">
        <v>0.56999999999999995</v>
      </c>
      <c r="H22" s="1">
        <v>1.18</v>
      </c>
      <c r="I22" s="1">
        <v>0.63</v>
      </c>
      <c r="J22" s="1">
        <v>8.44</v>
      </c>
      <c r="K22" s="1">
        <v>1.24</v>
      </c>
      <c r="L22" s="1">
        <v>3.49</v>
      </c>
      <c r="M22" s="1">
        <v>3.74</v>
      </c>
      <c r="N22" s="1">
        <v>83.09</v>
      </c>
      <c r="O22" s="1">
        <v>0.55000000000000004</v>
      </c>
      <c r="P22" s="1">
        <v>52.5</v>
      </c>
      <c r="Q22" s="2">
        <f>8.77 /100</f>
        <v>8.77E-2</v>
      </c>
      <c r="R22" s="1">
        <v>222</v>
      </c>
    </row>
    <row r="23" spans="1:18" x14ac:dyDescent="0.25">
      <c r="A23" s="1">
        <v>503</v>
      </c>
      <c r="B23" s="1">
        <v>1.5</v>
      </c>
      <c r="C23" s="1">
        <v>11.3</v>
      </c>
      <c r="D23" s="1">
        <v>2.1</v>
      </c>
      <c r="E23" s="1">
        <v>7.0625000000000011E-3</v>
      </c>
      <c r="F23" s="1">
        <v>2.1</v>
      </c>
      <c r="G23" s="1">
        <v>0.38</v>
      </c>
      <c r="H23" s="1">
        <v>0.78</v>
      </c>
      <c r="I23" s="1">
        <v>0.27</v>
      </c>
      <c r="J23" s="1">
        <v>10.4</v>
      </c>
      <c r="K23" s="1">
        <v>1.46</v>
      </c>
      <c r="L23" s="1">
        <v>3.79</v>
      </c>
      <c r="M23" s="1">
        <v>4.09</v>
      </c>
      <c r="N23" s="1">
        <v>80.239999999999995</v>
      </c>
      <c r="O23" s="1">
        <v>0.63</v>
      </c>
      <c r="P23" s="1">
        <v>41.6</v>
      </c>
      <c r="Q23" s="2">
        <f>6.83 /100</f>
        <v>6.83E-2</v>
      </c>
      <c r="R23" s="1">
        <v>249</v>
      </c>
    </row>
    <row r="24" spans="1:18" x14ac:dyDescent="0.25">
      <c r="A24" s="1">
        <v>503</v>
      </c>
      <c r="B24" s="1">
        <v>1.5</v>
      </c>
      <c r="C24" s="1">
        <v>18.100000000000001</v>
      </c>
      <c r="D24" s="1">
        <v>1.4</v>
      </c>
      <c r="E24" s="1">
        <v>1.1312500000000001E-2</v>
      </c>
      <c r="F24" s="1">
        <v>1.2</v>
      </c>
      <c r="G24" s="1">
        <v>0.61</v>
      </c>
      <c r="H24" s="1">
        <v>0.75</v>
      </c>
      <c r="I24" s="1">
        <v>0.11</v>
      </c>
      <c r="J24" s="1">
        <v>8.68</v>
      </c>
      <c r="K24" s="1">
        <v>1.2</v>
      </c>
      <c r="L24" s="1">
        <v>3.67</v>
      </c>
      <c r="M24" s="1">
        <v>3.7</v>
      </c>
      <c r="N24" s="1">
        <v>82.75</v>
      </c>
      <c r="O24" s="1">
        <v>0.66</v>
      </c>
      <c r="P24" s="1">
        <v>15.7</v>
      </c>
      <c r="Q24" s="2">
        <f>5.35 /100</f>
        <v>5.3499999999999999E-2</v>
      </c>
      <c r="R24" s="1">
        <v>270</v>
      </c>
    </row>
    <row r="25" spans="1:18" x14ac:dyDescent="0.25">
      <c r="A25" s="1">
        <v>503</v>
      </c>
      <c r="B25" s="1">
        <v>1.5</v>
      </c>
      <c r="C25" s="1">
        <v>5.4</v>
      </c>
      <c r="D25" s="1">
        <v>1.4</v>
      </c>
      <c r="E25" s="1">
        <v>3.3750000000000004E-3</v>
      </c>
      <c r="F25" s="1">
        <v>0.9</v>
      </c>
      <c r="G25" s="1">
        <v>0.56000000000000005</v>
      </c>
      <c r="H25" s="1">
        <v>0.51</v>
      </c>
      <c r="I25" s="1">
        <v>0.36</v>
      </c>
      <c r="J25" s="1">
        <v>6.66</v>
      </c>
      <c r="K25" s="1">
        <v>1.03</v>
      </c>
      <c r="L25" s="1">
        <v>3.13</v>
      </c>
      <c r="M25" s="1">
        <v>3.41</v>
      </c>
      <c r="N25" s="1">
        <v>85.77</v>
      </c>
      <c r="O25" s="1">
        <v>1.18</v>
      </c>
      <c r="P25" s="1">
        <v>39.6</v>
      </c>
      <c r="Q25" s="2">
        <f>4.01 /100</f>
        <v>4.0099999999999997E-2</v>
      </c>
      <c r="R25" s="1">
        <v>293</v>
      </c>
    </row>
    <row r="26" spans="1:18" x14ac:dyDescent="0.25">
      <c r="A26" s="1">
        <v>503</v>
      </c>
      <c r="B26" s="1">
        <v>2.5</v>
      </c>
      <c r="C26" s="1">
        <v>18.100000000000001</v>
      </c>
      <c r="D26" s="1">
        <v>1.4</v>
      </c>
      <c r="E26" s="1">
        <v>1.1312500000000001E-2</v>
      </c>
      <c r="F26" s="1">
        <v>1.2</v>
      </c>
      <c r="G26" s="1">
        <v>1.03</v>
      </c>
      <c r="H26" s="1">
        <v>1.23</v>
      </c>
      <c r="I26" s="1">
        <v>0.21</v>
      </c>
      <c r="J26" s="1">
        <v>9.32</v>
      </c>
      <c r="K26" s="1">
        <v>1.3</v>
      </c>
      <c r="L26" s="1">
        <v>4.17</v>
      </c>
      <c r="M26" s="1">
        <v>4.16</v>
      </c>
      <c r="N26" s="1">
        <v>81.06</v>
      </c>
      <c r="O26" s="1">
        <v>0.62</v>
      </c>
      <c r="P26" s="1">
        <v>16</v>
      </c>
      <c r="Q26" s="2">
        <f>5.44 /100</f>
        <v>5.4400000000000004E-2</v>
      </c>
      <c r="R26" s="1">
        <v>317</v>
      </c>
    </row>
    <row r="27" spans="1:18" x14ac:dyDescent="0.25">
      <c r="A27" s="1">
        <v>503</v>
      </c>
      <c r="B27" s="1">
        <v>2.5</v>
      </c>
      <c r="C27" s="1">
        <v>4.8</v>
      </c>
      <c r="D27" s="1">
        <v>1.4</v>
      </c>
      <c r="E27" s="1">
        <v>3.0000000000000001E-3</v>
      </c>
      <c r="F27" s="1">
        <v>0.8</v>
      </c>
      <c r="G27" s="1">
        <v>0.92</v>
      </c>
      <c r="H27" s="1">
        <v>0.73</v>
      </c>
      <c r="I27" s="1">
        <v>0.74</v>
      </c>
      <c r="J27" s="1">
        <v>5.4</v>
      </c>
      <c r="K27" s="1">
        <v>1</v>
      </c>
      <c r="L27" s="1">
        <v>3.18</v>
      </c>
      <c r="M27" s="1">
        <v>3.34</v>
      </c>
      <c r="N27" s="1">
        <v>87.09</v>
      </c>
      <c r="O27" s="1">
        <v>1.25</v>
      </c>
      <c r="P27" s="1">
        <v>44.6</v>
      </c>
      <c r="Q27" s="2">
        <f>4.02 /100</f>
        <v>4.0199999999999993E-2</v>
      </c>
      <c r="R27" s="1">
        <v>366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Todic_Data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Ostadi</dc:creator>
  <cp:lastModifiedBy>Magne Hillestad</cp:lastModifiedBy>
  <dcterms:created xsi:type="dcterms:W3CDTF">2016-02-12T12:24:50Z</dcterms:created>
  <dcterms:modified xsi:type="dcterms:W3CDTF">2021-11-09T11:11:55Z</dcterms:modified>
</cp:coreProperties>
</file>